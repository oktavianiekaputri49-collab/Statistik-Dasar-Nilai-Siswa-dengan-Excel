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7B953693-96A9-4DCC-9263-C31973C7EB0B}" xr6:coauthVersionLast="47" xr6:coauthVersionMax="47" xr10:uidLastSave="{00000000-0000-0000-0000-000000000000}"/>
  <bookViews>
    <workbookView xWindow="-110" yWindow="-110" windowWidth="19420" windowHeight="10300" xr2:uid="{E28D6997-5621-45EF-9EAD-B9D7B69425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E9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<sst xmlns="http://schemas.openxmlformats.org/spreadsheetml/2006/main" count="27" uniqueCount="27">
  <si>
    <t>Nama Lengkap</t>
  </si>
  <si>
    <t>Nilai</t>
  </si>
  <si>
    <t>Deni Hasandi</t>
  </si>
  <si>
    <t>Citra sugianti</t>
  </si>
  <si>
    <t>Okta Putri</t>
  </si>
  <si>
    <t>Christian Putra</t>
  </si>
  <si>
    <t>Ellen Purwati</t>
  </si>
  <si>
    <t>Afgan Tarundi</t>
  </si>
  <si>
    <t>Figna Dwi</t>
  </si>
  <si>
    <t>Hani Dewi</t>
  </si>
  <si>
    <t>Yunus Firman</t>
  </si>
  <si>
    <t>Nunik Kirana</t>
  </si>
  <si>
    <t>Putra Dwi</t>
  </si>
  <si>
    <t>Galang Arka</t>
  </si>
  <si>
    <t>Bunga Anna</t>
  </si>
  <si>
    <t>James Dewa</t>
  </si>
  <si>
    <t>Markus Sandy</t>
  </si>
  <si>
    <t>Mencari</t>
  </si>
  <si>
    <t>Nilainya</t>
  </si>
  <si>
    <t xml:space="preserve">Banyaknya data </t>
  </si>
  <si>
    <t>Modus</t>
  </si>
  <si>
    <t>Median</t>
  </si>
  <si>
    <t>Rata-rata</t>
  </si>
  <si>
    <t>Nilai terbesar</t>
  </si>
  <si>
    <t>Nilai terkecil</t>
  </si>
  <si>
    <t>Varians</t>
  </si>
  <si>
    <t>Standar deviasi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</si>
</sst>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3" fillId="0" borderId="1" xfId="0" applyFont="1" applyBorder="1"/>
    <xf numFmtId="43" fontId="3" fillId="0" borderId="1" xfId="1" applyFont="1" applyBorder="1"/>
    <xf numFmtId="1" fontId="3" fillId="0" borderId="1" xfId="0" applyNumberFormat="1" applyFont="1" applyBorder="1"/>
    <xf numFmtId="43" fontId="3" fillId="0" borderId="1" xfId="1" applyFont="1" applyBorder="1" applyAlignment="1">
      <alignment horizontal="left"/>
    </xf>
    <xf numFmtId="0" fontId="2" fillId="2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08693-02E5-4098-BE79-D4CBFCAA407D}">
  <dimension ref="A1:E16"/>
  <sheetViews>
    <sheetView tabSelected="1" workbookViewId="0">
      <selection activeCell="I10" sqref="I10"/>
    </sheetView>
  </sheetViews>
  <sheetFormatPr defaultRowHeight="15.5" x14ac:dyDescent="0.35"/>
  <cols>
    <col min="1" max="1" width="15.90625" style="1" customWidth="1"/>
    <col min="2" max="3" width="8.7265625" style="1"/>
    <col min="4" max="4" width="15.6328125" style="1" bestFit="1" customWidth="1"/>
    <col min="5" max="5" width="9.36328125" style="1" bestFit="1" customWidth="1"/>
    <col min="6" max="16384" width="8.7265625" style="1"/>
  </cols>
  <sheetData>
    <row r="1" spans="1:5" x14ac:dyDescent="0.35">
      <c r="A1" s="6" t="s">
        <v>0</v>
      </c>
      <c r="B1" s="6" t="s">
        <v>1</v>
      </c>
      <c r="D1" s="6" t="s">
        <v>17</v>
      </c>
      <c r="E1" s="6" t="s">
        <v>18</v>
      </c>
    </row>
    <row r="2" spans="1:5" x14ac:dyDescent="0.35">
      <c r="A2" s="2" t="s">
        <v>2</v>
      </c>
      <c r="B2" s="2">
        <v>90</v>
      </c>
      <c r="D2" s="2" t="s">
        <v>19</v>
      </c>
      <c r="E2" s="2">
        <f>COUNT(B2:B16)</f>
        <v>15</v>
      </c>
    </row>
    <row r="3" spans="1:5" x14ac:dyDescent="0.35">
      <c r="A3" s="2" t="s">
        <v>3</v>
      </c>
      <c r="B3" s="2">
        <v>88</v>
      </c>
      <c r="D3" s="2" t="s">
        <v>20</v>
      </c>
      <c r="E3" s="2">
        <f>_xlfn.MODE.SNGL(B2:B16)</f>
        <v>28</v>
      </c>
    </row>
    <row r="4" spans="1:5" x14ac:dyDescent="0.35">
      <c r="A4" s="2" t="s">
        <v>4</v>
      </c>
      <c r="B4" s="2">
        <v>96</v>
      </c>
      <c r="D4" s="2" t="s">
        <v>21</v>
      </c>
      <c r="E4" s="2">
        <f>MEDIAN(B2:B16)</f>
        <v>46</v>
      </c>
    </row>
    <row r="5" spans="1:5" x14ac:dyDescent="0.35">
      <c r="A5" s="2" t="s">
        <v>5</v>
      </c>
      <c r="B5" s="2">
        <v>75</v>
      </c>
      <c r="D5" s="2" t="s">
        <v>22</v>
      </c>
      <c r="E5" s="5">
        <f>AVERAGE(B2:B16)</f>
        <v>53.8</v>
      </c>
    </row>
    <row r="6" spans="1:5" x14ac:dyDescent="0.35">
      <c r="A6" s="2" t="s">
        <v>6</v>
      </c>
      <c r="B6" s="2">
        <v>69</v>
      </c>
      <c r="D6" s="2" t="s">
        <v>23</v>
      </c>
      <c r="E6" s="2">
        <f>MAX(B2:B16)</f>
        <v>96</v>
      </c>
    </row>
    <row r="7" spans="1:5" x14ac:dyDescent="0.35">
      <c r="A7" s="2" t="s">
        <v>7</v>
      </c>
      <c r="B7" s="2">
        <v>34</v>
      </c>
      <c r="D7" s="2" t="s">
        <v>24</v>
      </c>
      <c r="E7" s="2">
        <f>MIN(B2:B16)</f>
        <v>16</v>
      </c>
    </row>
    <row r="8" spans="1:5" x14ac:dyDescent="0.35">
      <c r="A8" s="2" t="s">
        <v>8</v>
      </c>
      <c r="B8" s="2">
        <v>18</v>
      </c>
      <c r="D8" s="2" t="s">
        <v>25</v>
      </c>
      <c r="E8" s="3">
        <f>_xlfn.VAR.P(B2:B16)</f>
        <v>822.16</v>
      </c>
    </row>
    <row r="9" spans="1:5" x14ac:dyDescent="0.35">
      <c r="A9" s="2" t="s">
        <v>9</v>
      </c>
      <c r="B9" s="2">
        <v>28</v>
      </c>
      <c r="D9" s="2" t="s">
        <v>26</v>
      </c>
      <c r="E9" s="3">
        <f>_xlfn.STDEV.P(B2:B16)</f>
        <v>28.67333255831976</v>
      </c>
    </row>
    <row r="10" spans="1:5" x14ac:dyDescent="0.35">
      <c r="A10" s="2" t="s">
        <v>10</v>
      </c>
      <c r="B10" s="2">
        <v>46</v>
      </c>
    </row>
    <row r="11" spans="1:5" x14ac:dyDescent="0.35">
      <c r="A11" s="2" t="s">
        <v>11</v>
      </c>
      <c r="B11" s="2">
        <v>31</v>
      </c>
    </row>
    <row r="12" spans="1:5" x14ac:dyDescent="0.35">
      <c r="A12" s="2" t="s">
        <v>12</v>
      </c>
      <c r="B12" s="2">
        <v>25</v>
      </c>
    </row>
    <row r="13" spans="1:5" x14ac:dyDescent="0.35">
      <c r="A13" s="2" t="s">
        <v>13</v>
      </c>
      <c r="B13" s="2">
        <v>16</v>
      </c>
    </row>
    <row r="14" spans="1:5" x14ac:dyDescent="0.35">
      <c r="A14" s="2" t="s">
        <v>14</v>
      </c>
      <c r="B14" s="2">
        <v>84</v>
      </c>
    </row>
    <row r="15" spans="1:5" x14ac:dyDescent="0.35">
      <c r="A15" s="2" t="s">
        <v>15</v>
      </c>
      <c r="B15" s="4">
        <v>79</v>
      </c>
    </row>
    <row r="16" spans="1:5" x14ac:dyDescent="0.35">
      <c r="A16" s="2" t="s">
        <v>16</v>
      </c>
      <c r="B16" s="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Putri</dc:creator>
  <cp:lastModifiedBy>Oktaviani Putri</cp:lastModifiedBy>
  <dcterms:created xsi:type="dcterms:W3CDTF">2025-09-20T05:00:03Z</dcterms:created>
  <dcterms:modified xsi:type="dcterms:W3CDTF">2026-04-22T15:21:21Z</dcterms:modified>
</cp:coreProperties>
</file>